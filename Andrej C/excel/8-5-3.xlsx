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zSFFaEPPR/OQ8MJlYFlbFgM+CDMYjnZSZebJ1dbZzco="/>
    </ext>
  </extLst>
</workbook>
</file>

<file path=xl/sharedStrings.xml><?xml version="1.0" encoding="utf-8"?>
<sst xmlns="http://schemas.openxmlformats.org/spreadsheetml/2006/main" count="17" uniqueCount="17">
  <si>
    <t>артикал</t>
  </si>
  <si>
    <t>цена</t>
  </si>
  <si>
    <t>попуст</t>
  </si>
  <si>
    <t>нова цена</t>
  </si>
  <si>
    <t>количина</t>
  </si>
  <si>
    <t>укупно</t>
  </si>
  <si>
    <t>ukupno bez popusta</t>
  </si>
  <si>
    <t>тастатура</t>
  </si>
  <si>
    <t>миш</t>
  </si>
  <si>
    <t>звучници 2.0</t>
  </si>
  <si>
    <t>збучници 2.1</t>
  </si>
  <si>
    <t>монитор 21</t>
  </si>
  <si>
    <t>монитор 23</t>
  </si>
  <si>
    <t>монитор 27</t>
  </si>
  <si>
    <t>меморија 16</t>
  </si>
  <si>
    <t>меморија 32</t>
  </si>
  <si>
    <t>хдми кабл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</si>
</sst>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din]#,##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.71"/>
    <col customWidth="1" min="3" max="3" width="7.43"/>
    <col customWidth="1" min="4" max="4" width="10.14"/>
    <col customWidth="1" min="5" max="5" width="9.57"/>
    <col customWidth="1" min="6" max="6" width="10.71"/>
    <col customWidth="1" min="7" max="7" width="18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1" t="s">
        <v>7</v>
      </c>
      <c r="B2" s="3">
        <v>1500.0</v>
      </c>
      <c r="C2" s="4">
        <v>0.2</v>
      </c>
      <c r="D2" s="3">
        <f t="shared" ref="D2:D11" si="1">B2-(B2*C2)</f>
        <v>1200</v>
      </c>
      <c r="E2" s="1">
        <v>34.0</v>
      </c>
      <c r="F2" s="3">
        <f t="shared" ref="F2:F11" si="2">D2*E2</f>
        <v>40800</v>
      </c>
      <c r="G2" s="3">
        <f t="shared" ref="G2:G11" si="3">B2*E2</f>
        <v>51000</v>
      </c>
    </row>
    <row r="3" ht="14.25" customHeight="1">
      <c r="A3" s="1" t="s">
        <v>8</v>
      </c>
      <c r="B3" s="3">
        <v>700.0</v>
      </c>
      <c r="C3" s="4">
        <v>0.1</v>
      </c>
      <c r="D3" s="3">
        <f t="shared" si="1"/>
        <v>630</v>
      </c>
      <c r="E3" s="1">
        <v>23.0</v>
      </c>
      <c r="F3" s="3">
        <f t="shared" si="2"/>
        <v>14490</v>
      </c>
      <c r="G3" s="3">
        <f t="shared" si="3"/>
        <v>16100</v>
      </c>
    </row>
    <row r="4" ht="14.25" customHeight="1">
      <c r="A4" s="1" t="s">
        <v>9</v>
      </c>
      <c r="B4" s="3">
        <v>1900.0</v>
      </c>
      <c r="C4" s="4">
        <v>0.12</v>
      </c>
      <c r="D4" s="3">
        <f t="shared" si="1"/>
        <v>1672</v>
      </c>
      <c r="E4" s="1">
        <v>12.0</v>
      </c>
      <c r="F4" s="3">
        <f t="shared" si="2"/>
        <v>20064</v>
      </c>
      <c r="G4" s="3">
        <f t="shared" si="3"/>
        <v>22800</v>
      </c>
    </row>
    <row r="5" ht="14.25" customHeight="1">
      <c r="A5" s="1" t="s">
        <v>10</v>
      </c>
      <c r="B5" s="3">
        <v>3200.0</v>
      </c>
      <c r="C5" s="4">
        <v>0.1</v>
      </c>
      <c r="D5" s="3">
        <f t="shared" si="1"/>
        <v>2880</v>
      </c>
      <c r="E5" s="1">
        <v>22.0</v>
      </c>
      <c r="F5" s="3">
        <f t="shared" si="2"/>
        <v>63360</v>
      </c>
      <c r="G5" s="3">
        <f t="shared" si="3"/>
        <v>70400</v>
      </c>
    </row>
    <row r="6" ht="14.25" customHeight="1">
      <c r="A6" s="1" t="s">
        <v>11</v>
      </c>
      <c r="B6" s="3">
        <v>12000.0</v>
      </c>
      <c r="C6" s="4">
        <v>0.05</v>
      </c>
      <c r="D6" s="3">
        <f t="shared" si="1"/>
        <v>11400</v>
      </c>
      <c r="E6" s="1">
        <v>6.0</v>
      </c>
      <c r="F6" s="3">
        <f t="shared" si="2"/>
        <v>68400</v>
      </c>
      <c r="G6" s="3">
        <f t="shared" si="3"/>
        <v>72000</v>
      </c>
    </row>
    <row r="7" ht="14.25" customHeight="1">
      <c r="A7" s="1" t="s">
        <v>12</v>
      </c>
      <c r="B7" s="3">
        <v>15000.0</v>
      </c>
      <c r="C7" s="4">
        <v>0.04</v>
      </c>
      <c r="D7" s="3">
        <f t="shared" si="1"/>
        <v>14400</v>
      </c>
      <c r="E7" s="1">
        <v>7.0</v>
      </c>
      <c r="F7" s="3">
        <f t="shared" si="2"/>
        <v>100800</v>
      </c>
      <c r="G7" s="3">
        <f t="shared" si="3"/>
        <v>105000</v>
      </c>
    </row>
    <row r="8" ht="14.25" customHeight="1">
      <c r="A8" s="1" t="s">
        <v>13</v>
      </c>
      <c r="B8" s="3">
        <v>21000.0</v>
      </c>
      <c r="C8" s="4">
        <v>0.03</v>
      </c>
      <c r="D8" s="3">
        <f t="shared" si="1"/>
        <v>20370</v>
      </c>
      <c r="E8" s="1">
        <v>5.0</v>
      </c>
      <c r="F8" s="3">
        <f t="shared" si="2"/>
        <v>101850</v>
      </c>
      <c r="G8" s="3">
        <f t="shared" si="3"/>
        <v>105000</v>
      </c>
    </row>
    <row r="9" ht="14.25" customHeight="1">
      <c r="A9" s="1" t="s">
        <v>14</v>
      </c>
      <c r="B9" s="3">
        <v>2000.0</v>
      </c>
      <c r="C9" s="4">
        <v>0.2</v>
      </c>
      <c r="D9" s="3">
        <f t="shared" si="1"/>
        <v>1600</v>
      </c>
      <c r="E9" s="1">
        <v>43.0</v>
      </c>
      <c r="F9" s="3">
        <f t="shared" si="2"/>
        <v>68800</v>
      </c>
      <c r="G9" s="3">
        <f t="shared" si="3"/>
        <v>86000</v>
      </c>
    </row>
    <row r="10" ht="14.25" customHeight="1">
      <c r="A10" s="1" t="s">
        <v>15</v>
      </c>
      <c r="B10" s="3">
        <v>3100.0</v>
      </c>
      <c r="C10" s="4">
        <v>0.25</v>
      </c>
      <c r="D10" s="3">
        <f t="shared" si="1"/>
        <v>2325</v>
      </c>
      <c r="E10" s="1">
        <v>17.0</v>
      </c>
      <c r="F10" s="3">
        <f t="shared" si="2"/>
        <v>39525</v>
      </c>
      <c r="G10" s="3">
        <f t="shared" si="3"/>
        <v>52700</v>
      </c>
    </row>
    <row r="11" ht="14.25" customHeight="1">
      <c r="A11" s="1" t="s">
        <v>16</v>
      </c>
      <c r="B11" s="3">
        <v>300.0</v>
      </c>
      <c r="C11" s="4">
        <v>0.2</v>
      </c>
      <c r="D11" s="3">
        <f t="shared" si="1"/>
        <v>240</v>
      </c>
      <c r="E11" s="1">
        <v>11.0</v>
      </c>
      <c r="F11" s="3">
        <f t="shared" si="2"/>
        <v>2640</v>
      </c>
      <c r="G11" s="3">
        <f t="shared" si="3"/>
        <v>3300</v>
      </c>
    </row>
    <row r="12" ht="14.25" customHeight="1"/>
    <row r="13" ht="14.25" customHeight="1">
      <c r="A13" s="3">
        <f t="shared" ref="A13:B13" si="4">SUM(F2:F11)</f>
        <v>520729</v>
      </c>
      <c r="B13" s="3">
        <f t="shared" si="4"/>
        <v>584300</v>
      </c>
      <c r="C13" s="4">
        <f>A13/B13</f>
        <v>0.8912014376</v>
      </c>
      <c r="D13" s="5">
        <v>0.1088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2020-08-05T23:24:20Z</dcterms:created>
  <dc:creator>Petar Radovanović</dc:creator>
</cp:coreProperties>
</file>