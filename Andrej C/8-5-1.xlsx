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LTf4l3WvwuELl4lR2i6rmlVSTqMcL7jEefmzr7OJH6Q="/>
    </ext>
  </extLst>
</workbook>
</file>

<file path=xl/sharedStrings.xml><?xml version="1.0" encoding="utf-8"?>
<sst xmlns="http://schemas.openxmlformats.org/spreadsheetml/2006/main" count="21" uniqueCount="17">
  <si>
    <t>Кошаркашка репрезентација Србије</t>
  </si>
  <si>
    <t>кошаркаш</t>
  </si>
  <si>
    <t>погодака за 1 поен</t>
  </si>
  <si>
    <t>покушаја</t>
  </si>
  <si>
    <t>% успешности</t>
  </si>
  <si>
    <t>погодака за 2 поена</t>
  </si>
  <si>
    <t>погодака за 3 поена</t>
  </si>
  <si>
    <t>Немања Недовић</t>
  </si>
  <si>
    <t>Богдан Богдановић</t>
  </si>
  <si>
    <t>Немања Бјелица</t>
  </si>
  <si>
    <t>Милош Теодосић</t>
  </si>
  <si>
    <t>Никола Јокић</t>
  </si>
  <si>
    <t>Никола Калинић</t>
  </si>
  <si>
    <t>Бобан Марјановић</t>
  </si>
  <si>
    <t>Огњен Јарамаз</t>
  </si>
  <si>
    <t>Новица Величковић</t>
  </si>
  <si>
    <t>Никола Милутинов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</si>
</sst>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/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horizontal="center"/>
    </xf>
    <xf borderId="4" fillId="0" fontId="4" numFmtId="10" xfId="0" applyAlignment="1" applyBorder="1" applyFont="1" applyNumberFormat="1">
      <alignment horizontal="center"/>
    </xf>
    <xf borderId="0" fillId="0" fontId="5" numFmtId="0" xfId="0" applyFont="1"/>
    <xf borderId="0" fillId="0" fontId="5" numFmtId="10" xfId="0" applyFont="1" applyNumberFormat="1"/>
    <xf borderId="0" fillId="0" fontId="5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8.86"/>
    <col customWidth="1" min="3" max="3" width="8.71"/>
    <col customWidth="1" min="4" max="4" width="11.14"/>
    <col customWidth="1" min="5" max="5" width="10.29"/>
    <col customWidth="1" min="6" max="6" width="8.71"/>
    <col customWidth="1" min="7" max="7" width="12.71"/>
    <col customWidth="1" min="8" max="8" width="10.43"/>
    <col customWidth="1" min="9" max="9" width="8.71"/>
    <col customWidth="1" min="10" max="10" width="12.71"/>
    <col customWidth="1" min="11" max="11" width="8.71"/>
    <col customWidth="1" min="12" max="12" width="13.29"/>
    <col customWidth="1" min="13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8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3</v>
      </c>
      <c r="G2" s="4" t="s">
        <v>4</v>
      </c>
      <c r="H2" s="4" t="s">
        <v>6</v>
      </c>
      <c r="I2" s="4" t="s">
        <v>3</v>
      </c>
      <c r="J2" s="4" t="s">
        <v>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 t="s">
        <v>7</v>
      </c>
      <c r="B3" s="6">
        <v>23.0</v>
      </c>
      <c r="C3" s="6">
        <v>26.0</v>
      </c>
      <c r="D3" s="7">
        <f t="shared" ref="D3:D12" si="1">B3/C3</f>
        <v>0.8846153846</v>
      </c>
      <c r="E3" s="6">
        <v>56.0</v>
      </c>
      <c r="F3" s="6">
        <v>73.0</v>
      </c>
      <c r="G3" s="7">
        <f t="shared" ref="G3:G12" si="2">E3/F3</f>
        <v>0.7671232877</v>
      </c>
      <c r="H3" s="6">
        <v>21.0</v>
      </c>
      <c r="I3" s="6">
        <v>24.0</v>
      </c>
      <c r="J3" s="7">
        <f t="shared" ref="J3:J12" si="3">H3/I3</f>
        <v>0.875</v>
      </c>
      <c r="K3" s="8">
        <f t="shared" ref="K3:K12" si="4">(B3*1)+(E3*2)+(H3*3)</f>
        <v>198</v>
      </c>
      <c r="L3" s="9">
        <f t="shared" ref="L3:L12" si="5">(D3+G3+J3)/3</f>
        <v>0.8422462241</v>
      </c>
    </row>
    <row r="4" ht="14.25" customHeight="1">
      <c r="A4" s="6" t="s">
        <v>8</v>
      </c>
      <c r="B4" s="6">
        <v>21.0</v>
      </c>
      <c r="C4" s="6">
        <v>24.0</v>
      </c>
      <c r="D4" s="7">
        <f t="shared" si="1"/>
        <v>0.875</v>
      </c>
      <c r="E4" s="6">
        <v>45.0</v>
      </c>
      <c r="F4" s="6">
        <v>47.0</v>
      </c>
      <c r="G4" s="7">
        <f t="shared" si="2"/>
        <v>0.9574468085</v>
      </c>
      <c r="H4" s="6">
        <v>33.0</v>
      </c>
      <c r="I4" s="6">
        <v>36.0</v>
      </c>
      <c r="J4" s="7">
        <f t="shared" si="3"/>
        <v>0.9166666667</v>
      </c>
      <c r="K4" s="8">
        <f t="shared" si="4"/>
        <v>210</v>
      </c>
      <c r="L4" s="9">
        <f t="shared" si="5"/>
        <v>0.9163711584</v>
      </c>
    </row>
    <row r="5" ht="14.25" customHeight="1">
      <c r="A5" s="6" t="s">
        <v>9</v>
      </c>
      <c r="B5" s="6">
        <v>12.0</v>
      </c>
      <c r="C5" s="6">
        <v>15.0</v>
      </c>
      <c r="D5" s="7">
        <f t="shared" si="1"/>
        <v>0.8</v>
      </c>
      <c r="E5" s="6">
        <v>24.0</v>
      </c>
      <c r="F5" s="6">
        <v>32.0</v>
      </c>
      <c r="G5" s="7">
        <f t="shared" si="2"/>
        <v>0.75</v>
      </c>
      <c r="H5" s="6">
        <v>12.0</v>
      </c>
      <c r="I5" s="6">
        <v>15.0</v>
      </c>
      <c r="J5" s="7">
        <f t="shared" si="3"/>
        <v>0.8</v>
      </c>
      <c r="K5" s="8">
        <f t="shared" si="4"/>
        <v>96</v>
      </c>
      <c r="L5" s="9">
        <f t="shared" si="5"/>
        <v>0.7833333333</v>
      </c>
    </row>
    <row r="6" ht="14.25" customHeight="1">
      <c r="A6" s="6" t="s">
        <v>10</v>
      </c>
      <c r="B6" s="6">
        <v>22.0</v>
      </c>
      <c r="C6" s="6">
        <v>27.0</v>
      </c>
      <c r="D6" s="7">
        <f t="shared" si="1"/>
        <v>0.8148148148</v>
      </c>
      <c r="E6" s="6">
        <v>78.0</v>
      </c>
      <c r="F6" s="6">
        <v>88.0</v>
      </c>
      <c r="G6" s="7">
        <f t="shared" si="2"/>
        <v>0.8863636364</v>
      </c>
      <c r="H6" s="6">
        <v>45.0</v>
      </c>
      <c r="I6" s="6">
        <v>49.0</v>
      </c>
      <c r="J6" s="7">
        <f t="shared" si="3"/>
        <v>0.9183673469</v>
      </c>
      <c r="K6" s="8">
        <f t="shared" si="4"/>
        <v>313</v>
      </c>
      <c r="L6" s="9">
        <f t="shared" si="5"/>
        <v>0.8731819327</v>
      </c>
    </row>
    <row r="7" ht="14.25" customHeight="1">
      <c r="A7" s="6" t="s">
        <v>11</v>
      </c>
      <c r="B7" s="6">
        <v>44.0</v>
      </c>
      <c r="C7" s="6">
        <v>67.0</v>
      </c>
      <c r="D7" s="7">
        <f t="shared" si="1"/>
        <v>0.6567164179</v>
      </c>
      <c r="E7" s="6">
        <v>55.0</v>
      </c>
      <c r="F7" s="6">
        <v>61.0</v>
      </c>
      <c r="G7" s="7">
        <f t="shared" si="2"/>
        <v>0.9016393443</v>
      </c>
      <c r="H7" s="6">
        <v>5.0</v>
      </c>
      <c r="I7" s="6">
        <v>23.0</v>
      </c>
      <c r="J7" s="7">
        <f t="shared" si="3"/>
        <v>0.2173913043</v>
      </c>
      <c r="K7" s="8">
        <f t="shared" si="4"/>
        <v>169</v>
      </c>
      <c r="L7" s="9">
        <f t="shared" si="5"/>
        <v>0.5919156888</v>
      </c>
    </row>
    <row r="8" ht="14.25" customHeight="1">
      <c r="A8" s="6" t="s">
        <v>12</v>
      </c>
      <c r="B8" s="6">
        <v>11.0</v>
      </c>
      <c r="C8" s="6">
        <v>21.0</v>
      </c>
      <c r="D8" s="7">
        <f t="shared" si="1"/>
        <v>0.5238095238</v>
      </c>
      <c r="E8" s="6">
        <v>23.0</v>
      </c>
      <c r="F8" s="6">
        <v>33.0</v>
      </c>
      <c r="G8" s="7">
        <f t="shared" si="2"/>
        <v>0.696969697</v>
      </c>
      <c r="H8" s="6">
        <v>12.0</v>
      </c>
      <c r="I8" s="6">
        <v>17.0</v>
      </c>
      <c r="J8" s="7">
        <f t="shared" si="3"/>
        <v>0.7058823529</v>
      </c>
      <c r="K8" s="8">
        <f t="shared" si="4"/>
        <v>93</v>
      </c>
      <c r="L8" s="9">
        <f t="shared" si="5"/>
        <v>0.6422205246</v>
      </c>
    </row>
    <row r="9" ht="14.25" customHeight="1">
      <c r="A9" s="6" t="s">
        <v>13</v>
      </c>
      <c r="B9" s="6">
        <v>23.0</v>
      </c>
      <c r="C9" s="6">
        <v>26.0</v>
      </c>
      <c r="D9" s="7">
        <f t="shared" si="1"/>
        <v>0.8846153846</v>
      </c>
      <c r="E9" s="6">
        <v>22.0</v>
      </c>
      <c r="F9" s="6">
        <v>25.0</v>
      </c>
      <c r="G9" s="7">
        <f t="shared" si="2"/>
        <v>0.88</v>
      </c>
      <c r="H9" s="6">
        <v>2.0</v>
      </c>
      <c r="I9" s="6">
        <v>8.0</v>
      </c>
      <c r="J9" s="7">
        <f t="shared" si="3"/>
        <v>0.25</v>
      </c>
      <c r="K9" s="8">
        <f t="shared" si="4"/>
        <v>73</v>
      </c>
      <c r="L9" s="9">
        <f t="shared" si="5"/>
        <v>0.6715384615</v>
      </c>
    </row>
    <row r="10" ht="14.25" customHeight="1">
      <c r="A10" s="6" t="s">
        <v>14</v>
      </c>
      <c r="B10" s="6">
        <v>12.0</v>
      </c>
      <c r="C10" s="6">
        <v>17.0</v>
      </c>
      <c r="D10" s="7">
        <f t="shared" si="1"/>
        <v>0.7058823529</v>
      </c>
      <c r="E10" s="6">
        <v>23.0</v>
      </c>
      <c r="F10" s="6">
        <v>31.0</v>
      </c>
      <c r="G10" s="7">
        <f t="shared" si="2"/>
        <v>0.7419354839</v>
      </c>
      <c r="H10" s="6">
        <v>16.0</v>
      </c>
      <c r="I10" s="6">
        <v>19.0</v>
      </c>
      <c r="J10" s="7">
        <f t="shared" si="3"/>
        <v>0.8421052632</v>
      </c>
      <c r="K10" s="8">
        <f t="shared" si="4"/>
        <v>106</v>
      </c>
      <c r="L10" s="9">
        <f t="shared" si="5"/>
        <v>0.7633077</v>
      </c>
    </row>
    <row r="11" ht="14.25" customHeight="1">
      <c r="A11" s="6" t="s">
        <v>15</v>
      </c>
      <c r="B11" s="6">
        <v>15.0</v>
      </c>
      <c r="C11" s="6">
        <v>20.0</v>
      </c>
      <c r="D11" s="7">
        <f t="shared" si="1"/>
        <v>0.75</v>
      </c>
      <c r="E11" s="6">
        <v>11.0</v>
      </c>
      <c r="F11" s="6">
        <v>16.0</v>
      </c>
      <c r="G11" s="7">
        <f t="shared" si="2"/>
        <v>0.6875</v>
      </c>
      <c r="H11" s="6">
        <v>5.0</v>
      </c>
      <c r="I11" s="6">
        <v>8.0</v>
      </c>
      <c r="J11" s="7">
        <f t="shared" si="3"/>
        <v>0.625</v>
      </c>
      <c r="K11" s="8">
        <f t="shared" si="4"/>
        <v>52</v>
      </c>
      <c r="L11" s="9">
        <f t="shared" si="5"/>
        <v>0.6875</v>
      </c>
    </row>
    <row r="12" ht="14.25" customHeight="1">
      <c r="A12" s="6" t="s">
        <v>16</v>
      </c>
      <c r="B12" s="6">
        <v>21.0</v>
      </c>
      <c r="C12" s="6">
        <v>26.0</v>
      </c>
      <c r="D12" s="7">
        <f t="shared" si="1"/>
        <v>0.8076923077</v>
      </c>
      <c r="E12" s="6">
        <v>25.0</v>
      </c>
      <c r="F12" s="6">
        <v>29.0</v>
      </c>
      <c r="G12" s="7">
        <f t="shared" si="2"/>
        <v>0.8620689655</v>
      </c>
      <c r="H12" s="6">
        <v>3.0</v>
      </c>
      <c r="I12" s="6">
        <v>11.0</v>
      </c>
      <c r="J12" s="7">
        <f t="shared" si="3"/>
        <v>0.2727272727</v>
      </c>
      <c r="K12" s="8">
        <f t="shared" si="4"/>
        <v>80</v>
      </c>
      <c r="L12" s="9">
        <f t="shared" si="5"/>
        <v>0.647496182</v>
      </c>
    </row>
    <row r="13" ht="14.25" customHeight="1"/>
    <row r="14" ht="14.25" customHeight="1">
      <c r="A14" s="9">
        <f>MAX(D3:D12)</f>
        <v>0.8846153846</v>
      </c>
      <c r="B14" s="9">
        <f>MAX(G3:G12)</f>
        <v>0.9574468085</v>
      </c>
      <c r="C14" s="9">
        <f>MAX(J3:J12)</f>
        <v>0.9183673469</v>
      </c>
      <c r="D14" s="9">
        <f>MAX(L3:L12)</f>
        <v>0.9163711584</v>
      </c>
      <c r="E14" s="8">
        <f>SUM(K3:K12)</f>
        <v>1390</v>
      </c>
      <c r="F14" s="9">
        <f>SUM(L3:L12)/10</f>
        <v>0.7419111205</v>
      </c>
      <c r="G14" s="10">
        <f>AVERAGE(D3:D12)</f>
        <v>0.7703146186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2020-08-05T13:43:35Z</dcterms:created>
  <dc:creator>Petar Radovanović</dc:creator>
</cp:coreProperties>
</file>