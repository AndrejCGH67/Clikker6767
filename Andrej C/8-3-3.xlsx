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IASKeW0DT79rJEtVa/n79XadGTZjfewCv92MDjKmT0s="/>
    </ext>
  </extLst>
</workbook>
</file>

<file path=xl/sharedStrings.xml><?xml version="1.0" encoding="utf-8"?>
<sst xmlns="http://schemas.openxmlformats.org/spreadsheetml/2006/main" count="25" uniqueCount="25">
  <si>
    <t>шифра ученика</t>
  </si>
  <si>
    <t>задатак 1</t>
  </si>
  <si>
    <t>задатак 2</t>
  </si>
  <si>
    <t>задатак 3</t>
  </si>
  <si>
    <t>дан 1</t>
  </si>
  <si>
    <t>задатак 4</t>
  </si>
  <si>
    <t>задатак 5</t>
  </si>
  <si>
    <t>задатак 6</t>
  </si>
  <si>
    <t>дан 2</t>
  </si>
  <si>
    <t>скор</t>
  </si>
  <si>
    <t>pobednik</t>
  </si>
  <si>
    <t>najtezi zadatak</t>
  </si>
  <si>
    <t>тп01</t>
  </si>
  <si>
    <t>тп02</t>
  </si>
  <si>
    <t>тп03</t>
  </si>
  <si>
    <t>тп04</t>
  </si>
  <si>
    <t>тп05</t>
  </si>
  <si>
    <t>тп06</t>
  </si>
  <si>
    <t>тп07</t>
  </si>
  <si>
    <t>тп08</t>
  </si>
  <si>
    <t>тп09</t>
  </si>
  <si>
    <t>тп10</t>
  </si>
  <si>
    <t>тп11</t>
  </si>
  <si>
    <t>тп12</t>
  </si>
  <si>
    <t>просек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</si>
</sst>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i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Font="1"/>
    <xf borderId="0" fillId="5" fontId="3" numFmtId="0" xfId="0" applyFill="1" applyFont="1"/>
    <xf borderId="0" fillId="3" fontId="3" numFmtId="0" xfId="0" applyFont="1"/>
    <xf borderId="0" fillId="4" fontId="3" numFmtId="2" xfId="0" applyFont="1" applyNumberFormat="1"/>
    <xf borderId="0" fillId="0" fontId="2" numFmtId="0" xfId="0" applyAlignment="1" applyFont="1">
      <alignment readingOrder="0"/>
    </xf>
    <xf borderId="0" fillId="6" fontId="3" numFmtId="2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4" width="9.57"/>
    <col customWidth="1" min="5" max="5" width="6.0"/>
    <col customWidth="1" min="6" max="8" width="9.57"/>
    <col customWidth="1" min="9" max="9" width="6.0"/>
    <col customWidth="1" min="10" max="10" width="5.14"/>
    <col customWidth="1" min="11" max="11" width="9.14"/>
    <col customWidth="1" min="12" max="12" width="13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ht="14.25" customHeight="1">
      <c r="A2" s="1" t="s">
        <v>12</v>
      </c>
      <c r="B2" s="4">
        <v>20.0</v>
      </c>
      <c r="C2" s="4">
        <v>20.0</v>
      </c>
      <c r="D2" s="4">
        <v>15.0</v>
      </c>
      <c r="E2" s="4">
        <f t="shared" ref="E2:E13" si="1">(B2+C2+D2)</f>
        <v>55</v>
      </c>
      <c r="F2" s="4">
        <v>14.0</v>
      </c>
      <c r="G2" s="4">
        <v>12.0</v>
      </c>
      <c r="H2" s="4">
        <v>19.0</v>
      </c>
      <c r="I2" s="4">
        <f t="shared" ref="I2:I13" si="2">(F2+G2+H2)</f>
        <v>45</v>
      </c>
      <c r="J2" s="5">
        <f t="shared" ref="J2:J13" si="3">(MAX(E2,I2)*1.2+(MIN(E2,I2)*0.8))</f>
        <v>102</v>
      </c>
      <c r="K2" s="6">
        <f>MAX(J2,J13)</f>
        <v>102</v>
      </c>
      <c r="L2" s="7">
        <f>MIN(B14,C14,D14,F14,G14,H14)</f>
        <v>10.25</v>
      </c>
    </row>
    <row r="3" ht="14.25" customHeight="1">
      <c r="A3" s="1" t="s">
        <v>13</v>
      </c>
      <c r="B3" s="4">
        <v>11.0</v>
      </c>
      <c r="C3" s="4">
        <v>16.0</v>
      </c>
      <c r="D3" s="8">
        <v>0.0</v>
      </c>
      <c r="E3" s="4">
        <f t="shared" si="1"/>
        <v>27</v>
      </c>
      <c r="F3" s="4">
        <v>13.0</v>
      </c>
      <c r="G3" s="4">
        <v>13.0</v>
      </c>
      <c r="H3" s="4">
        <v>13.0</v>
      </c>
      <c r="I3" s="4">
        <f t="shared" si="2"/>
        <v>39</v>
      </c>
      <c r="J3" s="5">
        <f t="shared" si="3"/>
        <v>68.4</v>
      </c>
    </row>
    <row r="4" ht="14.25" customHeight="1">
      <c r="A4" s="1" t="s">
        <v>14</v>
      </c>
      <c r="B4" s="4">
        <v>13.0</v>
      </c>
      <c r="C4" s="4">
        <v>12.0</v>
      </c>
      <c r="D4" s="4">
        <v>13.0</v>
      </c>
      <c r="E4" s="4">
        <f t="shared" si="1"/>
        <v>38</v>
      </c>
      <c r="F4" s="4">
        <v>11.0</v>
      </c>
      <c r="G4" s="4">
        <v>15.0</v>
      </c>
      <c r="H4" s="4">
        <v>15.0</v>
      </c>
      <c r="I4" s="4">
        <f t="shared" si="2"/>
        <v>41</v>
      </c>
      <c r="J4" s="5">
        <f t="shared" si="3"/>
        <v>79.6</v>
      </c>
    </row>
    <row r="5" ht="14.25" customHeight="1">
      <c r="A5" s="1" t="s">
        <v>15</v>
      </c>
      <c r="B5" s="4">
        <v>20.0</v>
      </c>
      <c r="C5" s="4">
        <v>18.0</v>
      </c>
      <c r="D5" s="4">
        <v>16.0</v>
      </c>
      <c r="E5" s="4">
        <f t="shared" si="1"/>
        <v>54</v>
      </c>
      <c r="F5" s="4">
        <v>16.0</v>
      </c>
      <c r="G5" s="4">
        <v>12.0</v>
      </c>
      <c r="H5" s="4">
        <v>12.0</v>
      </c>
      <c r="I5" s="4">
        <f t="shared" si="2"/>
        <v>40</v>
      </c>
      <c r="J5" s="5">
        <f t="shared" si="3"/>
        <v>96.8</v>
      </c>
    </row>
    <row r="6" ht="14.25" customHeight="1">
      <c r="A6" s="1" t="s">
        <v>16</v>
      </c>
      <c r="B6" s="4">
        <v>15.0</v>
      </c>
      <c r="C6" s="4">
        <v>20.0</v>
      </c>
      <c r="D6" s="4">
        <v>17.0</v>
      </c>
      <c r="E6" s="4">
        <f t="shared" si="1"/>
        <v>52</v>
      </c>
      <c r="F6" s="4">
        <v>7.0</v>
      </c>
      <c r="G6" s="4">
        <v>2.0</v>
      </c>
      <c r="H6" s="4">
        <v>14.0</v>
      </c>
      <c r="I6" s="4">
        <f t="shared" si="2"/>
        <v>23</v>
      </c>
      <c r="J6" s="5">
        <f t="shared" si="3"/>
        <v>80.8</v>
      </c>
    </row>
    <row r="7" ht="14.25" customHeight="1">
      <c r="A7" s="1" t="s">
        <v>17</v>
      </c>
      <c r="B7" s="4">
        <v>1.0</v>
      </c>
      <c r="C7" s="4">
        <v>8.0</v>
      </c>
      <c r="D7" s="4">
        <v>20.0</v>
      </c>
      <c r="E7" s="4">
        <f t="shared" si="1"/>
        <v>29</v>
      </c>
      <c r="F7" s="4">
        <v>4.0</v>
      </c>
      <c r="G7" s="4">
        <v>15.0</v>
      </c>
      <c r="H7" s="4">
        <v>13.0</v>
      </c>
      <c r="I7" s="4">
        <f t="shared" si="2"/>
        <v>32</v>
      </c>
      <c r="J7" s="5">
        <f t="shared" si="3"/>
        <v>61.6</v>
      </c>
    </row>
    <row r="8" ht="14.25" customHeight="1">
      <c r="A8" s="1" t="s">
        <v>18</v>
      </c>
      <c r="B8" s="4">
        <v>3.0</v>
      </c>
      <c r="C8" s="4">
        <v>10.0</v>
      </c>
      <c r="D8" s="4">
        <v>20.0</v>
      </c>
      <c r="E8" s="4">
        <f t="shared" si="1"/>
        <v>33</v>
      </c>
      <c r="F8" s="4">
        <v>9.0</v>
      </c>
      <c r="G8" s="4">
        <v>12.0</v>
      </c>
      <c r="H8" s="4">
        <v>1.0</v>
      </c>
      <c r="I8" s="4">
        <f t="shared" si="2"/>
        <v>22</v>
      </c>
      <c r="J8" s="5">
        <f t="shared" si="3"/>
        <v>57.2</v>
      </c>
    </row>
    <row r="9" ht="14.25" customHeight="1">
      <c r="A9" s="1" t="s">
        <v>19</v>
      </c>
      <c r="B9" s="4">
        <v>9.0</v>
      </c>
      <c r="C9" s="4">
        <v>11.0</v>
      </c>
      <c r="D9" s="4">
        <v>12.0</v>
      </c>
      <c r="E9" s="4">
        <f t="shared" si="1"/>
        <v>32</v>
      </c>
      <c r="F9" s="4">
        <v>20.0</v>
      </c>
      <c r="G9" s="4">
        <v>15.0</v>
      </c>
      <c r="H9" s="4">
        <v>18.0</v>
      </c>
      <c r="I9" s="4">
        <f t="shared" si="2"/>
        <v>53</v>
      </c>
      <c r="J9" s="5">
        <f t="shared" si="3"/>
        <v>89.2</v>
      </c>
    </row>
    <row r="10" ht="14.25" customHeight="1">
      <c r="A10" s="1" t="s">
        <v>20</v>
      </c>
      <c r="B10" s="4">
        <v>15.0</v>
      </c>
      <c r="C10" s="4">
        <v>12.0</v>
      </c>
      <c r="D10" s="4">
        <v>5.0</v>
      </c>
      <c r="E10" s="4">
        <f t="shared" si="1"/>
        <v>32</v>
      </c>
      <c r="F10" s="4">
        <v>15.0</v>
      </c>
      <c r="G10" s="4">
        <v>1.0</v>
      </c>
      <c r="H10" s="4">
        <v>12.0</v>
      </c>
      <c r="I10" s="4">
        <f t="shared" si="2"/>
        <v>28</v>
      </c>
      <c r="J10" s="5">
        <f t="shared" si="3"/>
        <v>60.8</v>
      </c>
    </row>
    <row r="11" ht="14.25" customHeight="1">
      <c r="A11" s="1" t="s">
        <v>21</v>
      </c>
      <c r="B11" s="4">
        <v>16.0</v>
      </c>
      <c r="C11" s="4">
        <v>12.0</v>
      </c>
      <c r="D11" s="4">
        <v>4.0</v>
      </c>
      <c r="E11" s="4">
        <f t="shared" si="1"/>
        <v>32</v>
      </c>
      <c r="F11" s="4">
        <v>13.0</v>
      </c>
      <c r="G11" s="4">
        <v>0.0</v>
      </c>
      <c r="H11" s="4">
        <v>9.0</v>
      </c>
      <c r="I11" s="4">
        <f t="shared" si="2"/>
        <v>22</v>
      </c>
      <c r="J11" s="5">
        <f t="shared" si="3"/>
        <v>56</v>
      </c>
    </row>
    <row r="12" ht="14.25" customHeight="1">
      <c r="A12" s="1" t="s">
        <v>22</v>
      </c>
      <c r="B12" s="4">
        <v>2.0</v>
      </c>
      <c r="C12" s="4">
        <v>4.0</v>
      </c>
      <c r="D12" s="4">
        <v>1.0</v>
      </c>
      <c r="E12" s="4">
        <f t="shared" si="1"/>
        <v>7</v>
      </c>
      <c r="F12" s="4">
        <v>11.0</v>
      </c>
      <c r="G12" s="4">
        <v>16.0</v>
      </c>
      <c r="H12" s="4">
        <v>12.0</v>
      </c>
      <c r="I12" s="4">
        <f t="shared" si="2"/>
        <v>39</v>
      </c>
      <c r="J12" s="5">
        <f t="shared" si="3"/>
        <v>52.4</v>
      </c>
    </row>
    <row r="13" ht="14.25" customHeight="1">
      <c r="A13" s="1" t="s">
        <v>23</v>
      </c>
      <c r="B13" s="4">
        <v>12.0</v>
      </c>
      <c r="C13" s="4">
        <v>15.0</v>
      </c>
      <c r="D13" s="4">
        <v>0.0</v>
      </c>
      <c r="E13" s="4">
        <f t="shared" si="1"/>
        <v>27</v>
      </c>
      <c r="F13" s="4">
        <v>7.0</v>
      </c>
      <c r="G13" s="4">
        <v>13.0</v>
      </c>
      <c r="H13" s="4">
        <v>8.0</v>
      </c>
      <c r="I13" s="4">
        <f t="shared" si="2"/>
        <v>28</v>
      </c>
      <c r="J13" s="5">
        <f t="shared" si="3"/>
        <v>55.2</v>
      </c>
    </row>
    <row r="14" ht="14.25" customHeight="1">
      <c r="A14" s="1" t="s">
        <v>24</v>
      </c>
      <c r="B14" s="9">
        <f t="shared" ref="B14:I14" si="4">AVERAGE(B2:B13)</f>
        <v>11.41666667</v>
      </c>
      <c r="C14" s="9">
        <f t="shared" si="4"/>
        <v>13.16666667</v>
      </c>
      <c r="D14" s="9">
        <f t="shared" si="4"/>
        <v>10.25</v>
      </c>
      <c r="E14" s="9">
        <f t="shared" si="4"/>
        <v>34.83333333</v>
      </c>
      <c r="F14" s="9">
        <f t="shared" si="4"/>
        <v>11.66666667</v>
      </c>
      <c r="G14" s="9">
        <f t="shared" si="4"/>
        <v>10.5</v>
      </c>
      <c r="H14" s="9">
        <f t="shared" si="4"/>
        <v>12.16666667</v>
      </c>
      <c r="I14" s="9">
        <f t="shared" si="4"/>
        <v>34.33333333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2020-08-04T11:47:56Z</dcterms:created>
  <dc:creator>Petar Radovanović</dc:creator>
</cp:coreProperties>
</file>